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880bd81eb5384d3/Desktop/"/>
    </mc:Choice>
  </mc:AlternateContent>
  <xr:revisionPtr revIDLastSave="0" documentId="8_{4C74FE3E-B159-419B-AEDD-709F0EAE26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 Model" sheetId="1" r:id="rId1"/>
    <sheet name="Notes &amp; Assumptions" sheetId="2" r:id="rId2"/>
  </sheets>
  <definedNames>
    <definedName name="F0_in">'Main Model'!$B8</definedName>
    <definedName name="FC_AMT">'Main Model'!$B6</definedName>
    <definedName name="K_CALL">'Main Model'!$B13</definedName>
    <definedName name="K_PUT">'Main Model'!$B12</definedName>
    <definedName name="PREM_CALL">'Main Model'!$B15</definedName>
    <definedName name="PREM_PUT">'Main Model'!$B14</definedName>
    <definedName name="R_FC">'Main Model'!$B10</definedName>
    <definedName name="R_USD">'Main Model'!$B9</definedName>
    <definedName name="S0_in">'Main Model'!$B7</definedName>
    <definedName name="T_DAYS">'Main Model'!$B11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1" i="1"/>
  <c r="E32" i="1"/>
  <c r="E33" i="1"/>
  <c r="E34" i="1"/>
  <c r="E35" i="1"/>
  <c r="E36" i="1"/>
  <c r="E37" i="1"/>
  <c r="E38" i="1"/>
  <c r="E39" i="1"/>
  <c r="E29" i="1"/>
  <c r="D30" i="1"/>
  <c r="D31" i="1"/>
  <c r="D32" i="1"/>
  <c r="D33" i="1"/>
  <c r="D34" i="1"/>
  <c r="D35" i="1"/>
  <c r="D36" i="1"/>
  <c r="D37" i="1"/>
  <c r="D38" i="1"/>
  <c r="D39" i="1"/>
  <c r="D29" i="1"/>
  <c r="B39" i="1"/>
  <c r="C39" i="1" s="1"/>
  <c r="B38" i="1"/>
  <c r="C38" i="1" s="1"/>
  <c r="B37" i="1"/>
  <c r="C37" i="1" s="1"/>
  <c r="B36" i="1"/>
  <c r="C36" i="1" s="1"/>
  <c r="B35" i="1"/>
  <c r="B34" i="1"/>
  <c r="C34" i="1" s="1"/>
  <c r="B33" i="1"/>
  <c r="C33" i="1" s="1"/>
  <c r="B32" i="1"/>
  <c r="C32" i="1" s="1"/>
  <c r="B31" i="1"/>
  <c r="C31" i="1" s="1"/>
  <c r="B30" i="1"/>
  <c r="C30" i="1" s="1"/>
  <c r="B29" i="1"/>
  <c r="C29" i="1" s="1"/>
  <c r="B18" i="1"/>
  <c r="H17" i="1"/>
  <c r="E17" i="1"/>
  <c r="E18" i="1" s="1"/>
  <c r="B13" i="1"/>
  <c r="L6" i="1" s="1"/>
  <c r="B12" i="1"/>
  <c r="F37" i="1" s="1"/>
  <c r="L5" i="1"/>
  <c r="M5" i="1" s="1"/>
  <c r="E5" i="1"/>
  <c r="G37" i="1" l="1"/>
  <c r="G36" i="1"/>
  <c r="G35" i="1"/>
  <c r="G34" i="1"/>
  <c r="G33" i="1"/>
  <c r="G32" i="1"/>
  <c r="G39" i="1"/>
  <c r="G31" i="1"/>
  <c r="G38" i="1"/>
  <c r="G30" i="1"/>
  <c r="G29" i="1"/>
  <c r="F36" i="1"/>
  <c r="F35" i="1"/>
  <c r="F33" i="1"/>
  <c r="F32" i="1"/>
  <c r="F39" i="1"/>
  <c r="F31" i="1"/>
  <c r="F34" i="1"/>
  <c r="F38" i="1"/>
  <c r="F30" i="1"/>
  <c r="F29" i="1"/>
  <c r="C35" i="1"/>
  <c r="M6" i="1"/>
  <c r="E6" i="1"/>
  <c r="H19" i="1" l="1"/>
  <c r="I20" i="1" s="1"/>
  <c r="L9" i="1" s="1"/>
  <c r="M9" i="1" s="1"/>
  <c r="H18" i="1"/>
  <c r="H20" i="1" s="1"/>
  <c r="L8" i="1" s="1"/>
  <c r="M8" i="1" s="1"/>
  <c r="E19" i="1"/>
  <c r="E20" i="1" s="1"/>
  <c r="E21" i="1" l="1"/>
  <c r="L7" i="1"/>
  <c r="M7" i="1" l="1"/>
  <c r="E7" i="1"/>
  <c r="E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Class scenario from FIN-321 project slide deck: Scenario 3 / Tech Services Firm.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10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1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1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14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  <comment ref="B15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Educational assumption used for Stage 2. Update if you later replace with live market data.</t>
        </r>
      </text>
    </comment>
  </commentList>
</comments>
</file>

<file path=xl/sharedStrings.xml><?xml version="1.0" encoding="utf-8"?>
<sst xmlns="http://schemas.openxmlformats.org/spreadsheetml/2006/main" count="108" uniqueCount="99">
  <si>
    <t>Stage 2 – FX Hedge Model | Scenario 3: Tech Services Firm</t>
  </si>
  <si>
    <t>EUR receivable in 1 year. Model compares No Hedge, Forward, Money Market, Long Put, and Long Call across a ±5% ending-rate range.</t>
  </si>
  <si>
    <t>Inputs (Yellow Cells)</t>
  </si>
  <si>
    <t>Assumptions / Controls</t>
  </si>
  <si>
    <t>Summary Output (Gray Cells)</t>
  </si>
  <si>
    <t>Scenario</t>
  </si>
  <si>
    <t>Scenario 3 – Tech Services Firm</t>
  </si>
  <si>
    <t>Year fraction</t>
  </si>
  <si>
    <t>No Hedge</t>
  </si>
  <si>
    <t>FC receivable (EUR)</t>
  </si>
  <si>
    <t>Forward parity check</t>
  </si>
  <si>
    <t>Forward Hedge</t>
  </si>
  <si>
    <t>Spot EURUSD, S0 (USD/EUR)</t>
  </si>
  <si>
    <t>Forward vs MM gap</t>
  </si>
  <si>
    <t>Money Market Hedge</t>
  </si>
  <si>
    <t>Forward rate, F0 (USD/EUR)</t>
  </si>
  <si>
    <t>Gap flag</t>
  </si>
  <si>
    <t>Long Put @ S0</t>
  </si>
  <si>
    <t>USD 1Y rate</t>
  </si>
  <si>
    <t>Recommendation placeholder</t>
  </si>
  <si>
    <t>Complete in Stage 4</t>
  </si>
  <si>
    <t>Long Call @ S0</t>
  </si>
  <si>
    <t>EUR 1Y rate</t>
  </si>
  <si>
    <t>Color key</t>
  </si>
  <si>
    <t>Yellow=input, Blue=assumption, Green=formula, Gray=output</t>
  </si>
  <si>
    <t>Suggested strategy</t>
  </si>
  <si>
    <t>Days to maturity</t>
  </si>
  <si>
    <t>Put strike, K_put</t>
  </si>
  <si>
    <t>Call strike, K_call</t>
  </si>
  <si>
    <t>Put premium (USD/EUR)</t>
  </si>
  <si>
    <t>Call premium (USD/EUR)</t>
  </si>
  <si>
    <t>Option Hedges at Current Spot</t>
  </si>
  <si>
    <t>Formula</t>
  </si>
  <si>
    <t>'=FC_AMT * F0_in</t>
  </si>
  <si>
    <t>Step 1: Borrow EUR today</t>
  </si>
  <si>
    <t>Ending spot used for summary (S_T)</t>
  </si>
  <si>
    <t>Locked-in USD proceeds</t>
  </si>
  <si>
    <t>Step 2: Convert borrowed EUR to USD at spot</t>
  </si>
  <si>
    <t>Long put proceeds</t>
  </si>
  <si>
    <t>Explanation</t>
  </si>
  <si>
    <t>Receivable translated at fixed forward rate</t>
  </si>
  <si>
    <t>Step 3: Invest USD until maturity</t>
  </si>
  <si>
    <t>Long call proceeds</t>
  </si>
  <si>
    <t>MM hedge USD proceeds</t>
  </si>
  <si>
    <t>Put proceeds @ current spot</t>
  </si>
  <si>
    <t>Compare to forward</t>
  </si>
  <si>
    <t>Call proceeds @ current spot</t>
  </si>
  <si>
    <t>Sensitivity Table (±5% around S0)</t>
  </si>
  <si>
    <t>S_T (USD/EUR)</t>
  </si>
  <si>
    <t>Forward</t>
  </si>
  <si>
    <t>MM Hedge</t>
  </si>
  <si>
    <t>Long Put</t>
  </si>
  <si>
    <t>Long Call</t>
  </si>
  <si>
    <t>-5%</t>
  </si>
  <si>
    <t>-4%</t>
  </si>
  <si>
    <t>-3%</t>
  </si>
  <si>
    <t>-2%</t>
  </si>
  <si>
    <t>-1%</t>
  </si>
  <si>
    <t>+0%</t>
  </si>
  <si>
    <t>+1%</t>
  </si>
  <si>
    <t>+2%</t>
  </si>
  <si>
    <t>+3%</t>
  </si>
  <si>
    <t>+4%</t>
  </si>
  <si>
    <t>+5%</t>
  </si>
  <si>
    <t>Notes &amp; Assumptions</t>
  </si>
  <si>
    <t>Item</t>
  </si>
  <si>
    <t>Value / Choice</t>
  </si>
  <si>
    <t>Note</t>
  </si>
  <si>
    <t>Scenario 3</t>
  </si>
  <si>
    <t>Receivable of EUR 12.5 million due in one year from the class scenario.</t>
  </si>
  <si>
    <t>Spot rate</t>
  </si>
  <si>
    <t>1.0765</t>
  </si>
  <si>
    <t>Assumed spot used so the assigned forward rate and the MM hedge are very close using the sample annual rates below.</t>
  </si>
  <si>
    <t>Forward rate</t>
  </si>
  <si>
    <t>1.0910</t>
  </si>
  <si>
    <t>Assigned scenario forward rate from the course slide.</t>
  </si>
  <si>
    <t>3.69%</t>
  </si>
  <si>
    <t>Reasonable annual sample assumption; can be updated later if you replace with live market data.</t>
  </si>
  <si>
    <t>2.31%</t>
  </si>
  <si>
    <t>Option strikes</t>
  </si>
  <si>
    <t>ATM at spot</t>
  </si>
  <si>
    <t>Set equal to spot for a simple comparison.</t>
  </si>
  <si>
    <t>Option premiums</t>
  </si>
  <si>
    <t>Put 0.0225 / Call 0.0369 USD per EUR</t>
  </si>
  <si>
    <t>Illustrative premiums chosen for a clean educational model rather than a broker quote.</t>
  </si>
  <si>
    <t>Parity expectation</t>
  </si>
  <si>
    <t>Forward ≈ MM hedge</t>
  </si>
  <si>
    <t>Model is structured so these should be very close, with only rounding differences.</t>
  </si>
  <si>
    <t>Ignored items</t>
  </si>
  <si>
    <t>Bid-ask spreads, fees, taxes, credit charges</t>
  </si>
  <si>
    <t>Kept out to make the model easier to audit.</t>
  </si>
  <si>
    <t>Stage 4 note</t>
  </si>
  <si>
    <t>Recommendation placeholder remains blank</t>
  </si>
  <si>
    <t>Complete after interpreting the sensitivity results.</t>
  </si>
  <si>
    <t>How to use</t>
  </si>
  <si>
    <t>1) Update yellow cells on Main Model.</t>
  </si>
  <si>
    <t>2) Review the summary output and MM parity check.</t>
  </si>
  <si>
    <t>3) Use the sensitivity table and chart for Stage 4.</t>
  </si>
  <si>
    <t>4) Keep this tab as your documentation base for Stage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</si>
</sst>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\x"/>
    <numFmt numFmtId="165" formatCode="\$#,##0;[Red]\(\$#,##0\);\-"/>
    <numFmt numFmtId="166" formatCode="#,##0;[Red]\(#,##0\);\-"/>
    <numFmt numFmtId="167" formatCode="0.0000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3" fillId="0" borderId="0" xfId="0" applyFont="1"/>
    <xf numFmtId="0" fontId="4" fillId="3" borderId="1" xfId="0" applyFont="1" applyFill="1" applyBorder="1"/>
    <xf numFmtId="164" fontId="5" fillId="4" borderId="0" xfId="0" applyNumberFormat="1" applyFont="1" applyFill="1"/>
    <xf numFmtId="165" fontId="3" fillId="5" borderId="0" xfId="0" applyNumberFormat="1" applyFont="1" applyFill="1"/>
    <xf numFmtId="165" fontId="0" fillId="5" borderId="0" xfId="0" applyNumberFormat="1" applyFill="1"/>
    <xf numFmtId="167" fontId="5" fillId="4" borderId="0" xfId="0" applyNumberFormat="1" applyFont="1" applyFill="1"/>
    <xf numFmtId="165" fontId="5" fillId="4" borderId="0" xfId="0" applyNumberFormat="1" applyFont="1" applyFill="1"/>
    <xf numFmtId="0" fontId="5" fillId="4" borderId="0" xfId="0" applyFont="1" applyFill="1"/>
    <xf numFmtId="0" fontId="6" fillId="4" borderId="0" xfId="0" applyFont="1" applyFill="1"/>
    <xf numFmtId="0" fontId="3" fillId="5" borderId="0" xfId="0" applyFont="1" applyFill="1"/>
    <xf numFmtId="0" fontId="0" fillId="5" borderId="0" xfId="0" applyFill="1"/>
    <xf numFmtId="166" fontId="5" fillId="6" borderId="0" xfId="0" applyNumberFormat="1" applyFont="1" applyFill="1"/>
    <xf numFmtId="167" fontId="5" fillId="6" borderId="0" xfId="0" applyNumberFormat="1" applyFont="1" applyFill="1"/>
    <xf numFmtId="165" fontId="5" fillId="6" borderId="0" xfId="0" applyNumberFormat="1" applyFont="1" applyFill="1"/>
    <xf numFmtId="165" fontId="3" fillId="0" borderId="0" xfId="0" applyNumberFormat="1" applyFont="1"/>
    <xf numFmtId="0" fontId="3" fillId="7" borderId="0" xfId="0" applyFont="1" applyFill="1"/>
    <xf numFmtId="0" fontId="2" fillId="2" borderId="2" xfId="0" applyFont="1" applyFill="1" applyBorder="1" applyAlignment="1">
      <alignment horizontal="left"/>
    </xf>
    <xf numFmtId="0" fontId="0" fillId="0" borderId="3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5" fillId="4" borderId="0" xfId="0" applyNumberFormat="1" applyFont="1" applyFill="1"/>
    <xf numFmtId="2" fontId="4" fillId="8" borderId="1" xfId="0" applyNumberFormat="1" applyFont="1" applyFill="1" applyBorder="1"/>
    <xf numFmtId="167" fontId="4" fillId="8" borderId="1" xfId="0" applyNumberFormat="1" applyFont="1" applyFill="1" applyBorder="1"/>
    <xf numFmtId="168" fontId="4" fillId="8" borderId="1" xfId="0" applyNumberFormat="1" applyFont="1" applyFill="1" applyBorder="1"/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USD Proceeds by Ending Spot Rate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'Main Model'!$C$28</c:f>
              <c:strCache>
                <c:ptCount val="1"/>
                <c:pt idx="0">
                  <c:v>No Hedge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Model'!$B$29:$B$39</c:f>
              <c:numCache>
                <c:formatCode>General</c:formatCode>
                <c:ptCount val="11"/>
                <c:pt idx="0">
                  <c:v>1.022675</c:v>
                </c:pt>
                <c:pt idx="1">
                  <c:v>1.0334399999999999</c:v>
                </c:pt>
                <c:pt idx="2">
                  <c:v>1.044205</c:v>
                </c:pt>
                <c:pt idx="3">
                  <c:v>1.05497</c:v>
                </c:pt>
                <c:pt idx="4">
                  <c:v>1.0657350000000001</c:v>
                </c:pt>
                <c:pt idx="5">
                  <c:v>1.0765</c:v>
                </c:pt>
                <c:pt idx="6">
                  <c:v>1.0872649999999999</c:v>
                </c:pt>
                <c:pt idx="7">
                  <c:v>1.0980300000000001</c:v>
                </c:pt>
                <c:pt idx="8">
                  <c:v>1.108795</c:v>
                </c:pt>
                <c:pt idx="9">
                  <c:v>1.1195600000000001</c:v>
                </c:pt>
                <c:pt idx="10">
                  <c:v>1.130325</c:v>
                </c:pt>
              </c:numCache>
            </c:numRef>
          </c:cat>
          <c:val>
            <c:numRef>
              <c:f>'Main Model'!$C$29:$C$39</c:f>
              <c:numCache>
                <c:formatCode>\$#,##0;[Red]\(\$#,##0\);\-</c:formatCode>
                <c:ptCount val="11"/>
                <c:pt idx="0">
                  <c:v>12783437.5</c:v>
                </c:pt>
                <c:pt idx="1">
                  <c:v>12917999.999999998</c:v>
                </c:pt>
                <c:pt idx="2">
                  <c:v>13052562.5</c:v>
                </c:pt>
                <c:pt idx="3">
                  <c:v>13187125</c:v>
                </c:pt>
                <c:pt idx="4">
                  <c:v>13321687.500000002</c:v>
                </c:pt>
                <c:pt idx="5">
                  <c:v>13456250</c:v>
                </c:pt>
                <c:pt idx="6">
                  <c:v>13590812.5</c:v>
                </c:pt>
                <c:pt idx="7">
                  <c:v>13725375</c:v>
                </c:pt>
                <c:pt idx="8">
                  <c:v>13859937.5</c:v>
                </c:pt>
                <c:pt idx="9">
                  <c:v>13994500.000000002</c:v>
                </c:pt>
                <c:pt idx="10">
                  <c:v>14129062.5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50-471F-BDCA-763B16AC20DA}"/>
            </c:ext>
          </c:extLst>
        </c:ser>
        <c:ser>
          <c:idx val="1"/>
          <c:order val="1"/>
          <c:tx>
            <c:strRef>
              <c:f>'Main Model'!$D$28</c:f>
              <c:strCache>
                <c:ptCount val="1"/>
                <c:pt idx="0">
                  <c:v>Forward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Model'!$B$29:$B$39</c:f>
              <c:numCache>
                <c:formatCode>General</c:formatCode>
                <c:ptCount val="11"/>
                <c:pt idx="0">
                  <c:v>1.022675</c:v>
                </c:pt>
                <c:pt idx="1">
                  <c:v>1.0334399999999999</c:v>
                </c:pt>
                <c:pt idx="2">
                  <c:v>1.044205</c:v>
                </c:pt>
                <c:pt idx="3">
                  <c:v>1.05497</c:v>
                </c:pt>
                <c:pt idx="4">
                  <c:v>1.0657350000000001</c:v>
                </c:pt>
                <c:pt idx="5">
                  <c:v>1.0765</c:v>
                </c:pt>
                <c:pt idx="6">
                  <c:v>1.0872649999999999</c:v>
                </c:pt>
                <c:pt idx="7">
                  <c:v>1.0980300000000001</c:v>
                </c:pt>
                <c:pt idx="8">
                  <c:v>1.108795</c:v>
                </c:pt>
                <c:pt idx="9">
                  <c:v>1.1195600000000001</c:v>
                </c:pt>
                <c:pt idx="10">
                  <c:v>1.130325</c:v>
                </c:pt>
              </c:numCache>
            </c:numRef>
          </c:cat>
          <c:val>
            <c:numRef>
              <c:f>'Main Model'!$D$29:$D$39</c:f>
              <c:numCache>
                <c:formatCode>\$#,##0;[Red]\(\$#,##0\);\-</c:formatCode>
                <c:ptCount val="11"/>
                <c:pt idx="0">
                  <c:v>13637500</c:v>
                </c:pt>
                <c:pt idx="1">
                  <c:v>13637500</c:v>
                </c:pt>
                <c:pt idx="2">
                  <c:v>13637500</c:v>
                </c:pt>
                <c:pt idx="3">
                  <c:v>13637500</c:v>
                </c:pt>
                <c:pt idx="4">
                  <c:v>13637500</c:v>
                </c:pt>
                <c:pt idx="5">
                  <c:v>13637500</c:v>
                </c:pt>
                <c:pt idx="6">
                  <c:v>13637500</c:v>
                </c:pt>
                <c:pt idx="7">
                  <c:v>13637500</c:v>
                </c:pt>
                <c:pt idx="8">
                  <c:v>13637500</c:v>
                </c:pt>
                <c:pt idx="9">
                  <c:v>13637500</c:v>
                </c:pt>
                <c:pt idx="10">
                  <c:v>13637500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50-471F-BDCA-763B16AC20DA}"/>
            </c:ext>
          </c:extLst>
        </c:ser>
        <c:ser>
          <c:idx val="2"/>
          <c:order val="2"/>
          <c:tx>
            <c:strRef>
              <c:f>'Main Model'!$E$28</c:f>
              <c:strCache>
                <c:ptCount val="1"/>
                <c:pt idx="0">
                  <c:v>MM Hedge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Model'!$B$29:$B$39</c:f>
              <c:numCache>
                <c:formatCode>General</c:formatCode>
                <c:ptCount val="11"/>
                <c:pt idx="0">
                  <c:v>1.022675</c:v>
                </c:pt>
                <c:pt idx="1">
                  <c:v>1.0334399999999999</c:v>
                </c:pt>
                <c:pt idx="2">
                  <c:v>1.044205</c:v>
                </c:pt>
                <c:pt idx="3">
                  <c:v>1.05497</c:v>
                </c:pt>
                <c:pt idx="4">
                  <c:v>1.0657350000000001</c:v>
                </c:pt>
                <c:pt idx="5">
                  <c:v>1.0765</c:v>
                </c:pt>
                <c:pt idx="6">
                  <c:v>1.0872649999999999</c:v>
                </c:pt>
                <c:pt idx="7">
                  <c:v>1.0980300000000001</c:v>
                </c:pt>
                <c:pt idx="8">
                  <c:v>1.108795</c:v>
                </c:pt>
                <c:pt idx="9">
                  <c:v>1.1195600000000001</c:v>
                </c:pt>
                <c:pt idx="10">
                  <c:v>1.130325</c:v>
                </c:pt>
              </c:numCache>
            </c:numRef>
          </c:cat>
          <c:val>
            <c:numRef>
              <c:f>'Main Model'!$E$29:$E$39</c:f>
              <c:numCache>
                <c:formatCode>\$#,##0;[Red]\(\$#,##0\);\-</c:formatCode>
                <c:ptCount val="11"/>
                <c:pt idx="0">
                  <c:v>13637500</c:v>
                </c:pt>
                <c:pt idx="1">
                  <c:v>13637500</c:v>
                </c:pt>
                <c:pt idx="2">
                  <c:v>13637500</c:v>
                </c:pt>
                <c:pt idx="3">
                  <c:v>13637500</c:v>
                </c:pt>
                <c:pt idx="4">
                  <c:v>13637500</c:v>
                </c:pt>
                <c:pt idx="5">
                  <c:v>13637500</c:v>
                </c:pt>
                <c:pt idx="6">
                  <c:v>13637500</c:v>
                </c:pt>
                <c:pt idx="7">
                  <c:v>13637500</c:v>
                </c:pt>
                <c:pt idx="8">
                  <c:v>13637500</c:v>
                </c:pt>
                <c:pt idx="9">
                  <c:v>13637500</c:v>
                </c:pt>
                <c:pt idx="10">
                  <c:v>13637500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50-471F-BDCA-763B16AC20DA}"/>
            </c:ext>
          </c:extLst>
        </c:ser>
        <c:ser>
          <c:idx val="3"/>
          <c:order val="3"/>
          <c:tx>
            <c:strRef>
              <c:f>'Main Model'!$F$28</c:f>
              <c:strCache>
                <c:ptCount val="1"/>
                <c:pt idx="0">
                  <c:v>Long Put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Model'!$B$29:$B$39</c:f>
              <c:numCache>
                <c:formatCode>General</c:formatCode>
                <c:ptCount val="11"/>
                <c:pt idx="0">
                  <c:v>1.022675</c:v>
                </c:pt>
                <c:pt idx="1">
                  <c:v>1.0334399999999999</c:v>
                </c:pt>
                <c:pt idx="2">
                  <c:v>1.044205</c:v>
                </c:pt>
                <c:pt idx="3">
                  <c:v>1.05497</c:v>
                </c:pt>
                <c:pt idx="4">
                  <c:v>1.0657350000000001</c:v>
                </c:pt>
                <c:pt idx="5">
                  <c:v>1.0765</c:v>
                </c:pt>
                <c:pt idx="6">
                  <c:v>1.0872649999999999</c:v>
                </c:pt>
                <c:pt idx="7">
                  <c:v>1.0980300000000001</c:v>
                </c:pt>
                <c:pt idx="8">
                  <c:v>1.108795</c:v>
                </c:pt>
                <c:pt idx="9">
                  <c:v>1.1195600000000001</c:v>
                </c:pt>
                <c:pt idx="10">
                  <c:v>1.130325</c:v>
                </c:pt>
              </c:numCache>
            </c:numRef>
          </c:cat>
          <c:val>
            <c:numRef>
              <c:f>'Main Model'!$F$29:$F$39</c:f>
              <c:numCache>
                <c:formatCode>\$#,##0;[Red]\(\$#,##0\);\-</c:formatCode>
                <c:ptCount val="11"/>
                <c:pt idx="0">
                  <c:v>13175000</c:v>
                </c:pt>
                <c:pt idx="1">
                  <c:v>13175000</c:v>
                </c:pt>
                <c:pt idx="2">
                  <c:v>13175000</c:v>
                </c:pt>
                <c:pt idx="3">
                  <c:v>13175000</c:v>
                </c:pt>
                <c:pt idx="4">
                  <c:v>13175000</c:v>
                </c:pt>
                <c:pt idx="5">
                  <c:v>13175000</c:v>
                </c:pt>
                <c:pt idx="6">
                  <c:v>13309562.5</c:v>
                </c:pt>
                <c:pt idx="7">
                  <c:v>13444125</c:v>
                </c:pt>
                <c:pt idx="8">
                  <c:v>13578687.5</c:v>
                </c:pt>
                <c:pt idx="9">
                  <c:v>13713250.000000002</c:v>
                </c:pt>
                <c:pt idx="10">
                  <c:v>13847812.5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450-471F-BDCA-763B16AC20DA}"/>
            </c:ext>
          </c:extLst>
        </c:ser>
        <c:ser>
          <c:idx val="4"/>
          <c:order val="4"/>
          <c:tx>
            <c:strRef>
              <c:f>'Main Model'!$G$28</c:f>
              <c:strCache>
                <c:ptCount val="1"/>
                <c:pt idx="0">
                  <c:v>Long Call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'Main Model'!$B$29:$B$39</c:f>
              <c:numCache>
                <c:formatCode>General</c:formatCode>
                <c:ptCount val="11"/>
                <c:pt idx="0">
                  <c:v>1.022675</c:v>
                </c:pt>
                <c:pt idx="1">
                  <c:v>1.0334399999999999</c:v>
                </c:pt>
                <c:pt idx="2">
                  <c:v>1.044205</c:v>
                </c:pt>
                <c:pt idx="3">
                  <c:v>1.05497</c:v>
                </c:pt>
                <c:pt idx="4">
                  <c:v>1.0657350000000001</c:v>
                </c:pt>
                <c:pt idx="5">
                  <c:v>1.0765</c:v>
                </c:pt>
                <c:pt idx="6">
                  <c:v>1.0872649999999999</c:v>
                </c:pt>
                <c:pt idx="7">
                  <c:v>1.0980300000000001</c:v>
                </c:pt>
                <c:pt idx="8">
                  <c:v>1.108795</c:v>
                </c:pt>
                <c:pt idx="9">
                  <c:v>1.1195600000000001</c:v>
                </c:pt>
                <c:pt idx="10">
                  <c:v>1.130325</c:v>
                </c:pt>
              </c:numCache>
            </c:numRef>
          </c:cat>
          <c:val>
            <c:numRef>
              <c:f>'Main Model'!$G$29:$G$39</c:f>
              <c:numCache>
                <c:formatCode>\$#,##0;[Red]\(\$#,##0\);\-</c:formatCode>
                <c:ptCount val="11"/>
                <c:pt idx="0">
                  <c:v>12322187.5</c:v>
                </c:pt>
                <c:pt idx="1">
                  <c:v>12456749.999999998</c:v>
                </c:pt>
                <c:pt idx="2">
                  <c:v>12591312.5</c:v>
                </c:pt>
                <c:pt idx="3">
                  <c:v>12725875</c:v>
                </c:pt>
                <c:pt idx="4">
                  <c:v>12860437.500000002</c:v>
                </c:pt>
                <c:pt idx="5">
                  <c:v>12995000</c:v>
                </c:pt>
                <c:pt idx="6">
                  <c:v>12995000</c:v>
                </c:pt>
                <c:pt idx="7">
                  <c:v>12995000</c:v>
                </c:pt>
                <c:pt idx="8">
                  <c:v>12995000</c:v>
                </c:pt>
                <c:pt idx="9">
                  <c:v>12995000</c:v>
                </c:pt>
                <c:pt idx="10">
                  <c:v>12995000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450-471F-BDCA-763B16AC2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Ending Spot Rate (USD/EUR)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1"/>
        </c:title>
        <c:numFmt formatCode="\$#,##0;[Red]\(\$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showGridLines="0" tabSelected="1" zoomScale="58" zoomScaleNormal="58" workbookViewId="0">
      <selection activeCell="O9" sqref="O9"/>
    </sheetView>
  </sheetViews>
  <sheetFormatPr defaultRowHeight="14.5" x14ac:dyDescent="0.35"/>
  <cols>
    <col min="1" max="1" width="28" customWidth="1"/>
    <col min="2" max="3" width="16" customWidth="1"/>
    <col min="4" max="4" width="24" customWidth="1"/>
    <col min="5" max="5" width="16" customWidth="1"/>
    <col min="6" max="6" width="18" customWidth="1"/>
    <col min="7" max="7" width="20" customWidth="1"/>
    <col min="8" max="9" width="16" customWidth="1"/>
    <col min="10" max="10" width="4" customWidth="1"/>
    <col min="11" max="11" width="24" customWidth="1"/>
    <col min="12" max="13" width="18" customWidth="1"/>
  </cols>
  <sheetData>
    <row r="1" spans="1:13" ht="20" customHeight="1" x14ac:dyDescent="0.4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ht="32" customHeight="1" x14ac:dyDescent="0.35">
      <c r="A2" s="22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ht="20" customHeight="1" x14ac:dyDescent="0.35"/>
    <row r="4" spans="1:13" ht="20" customHeight="1" x14ac:dyDescent="0.35">
      <c r="A4" s="18" t="s">
        <v>2</v>
      </c>
      <c r="B4" s="19"/>
      <c r="C4" s="19"/>
      <c r="D4" s="18" t="s">
        <v>3</v>
      </c>
      <c r="E4" s="19"/>
      <c r="F4" s="19"/>
      <c r="G4" s="1"/>
      <c r="H4" s="1"/>
      <c r="I4" s="1"/>
      <c r="J4" s="1"/>
      <c r="K4" s="18" t="s">
        <v>4</v>
      </c>
      <c r="L4" s="19"/>
      <c r="M4" s="19"/>
    </row>
    <row r="5" spans="1:13" ht="20" customHeight="1" x14ac:dyDescent="0.35">
      <c r="A5" s="2" t="s">
        <v>5</v>
      </c>
      <c r="B5" s="3" t="s">
        <v>6</v>
      </c>
      <c r="D5" s="2" t="s">
        <v>7</v>
      </c>
      <c r="E5" s="4">
        <f>T_DAYS/365</f>
        <v>1.0109589041095891E-4</v>
      </c>
      <c r="K5" s="2" t="s">
        <v>8</v>
      </c>
      <c r="L5" s="5">
        <f>FC_AMT*S0_in</f>
        <v>8.4314999999999998</v>
      </c>
      <c r="M5" s="6">
        <f>L5-$L$5</f>
        <v>0</v>
      </c>
    </row>
    <row r="6" spans="1:13" ht="20" customHeight="1" x14ac:dyDescent="0.35">
      <c r="A6" s="2" t="s">
        <v>9</v>
      </c>
      <c r="B6" s="24">
        <v>12500000</v>
      </c>
      <c r="D6" s="2" t="s">
        <v>10</v>
      </c>
      <c r="E6" s="7">
        <f>S0_in*(1+R_USD*E5)/(1+R_FC*E5)</f>
        <v>1.0764984328577913</v>
      </c>
      <c r="K6" s="2" t="s">
        <v>11</v>
      </c>
      <c r="L6" s="5">
        <f>FC_AMT*F0_in</f>
        <v>392.92250000000001</v>
      </c>
      <c r="M6" s="6">
        <f>L6-$L$5</f>
        <v>384.49099999999999</v>
      </c>
    </row>
    <row r="7" spans="1:13" ht="20" customHeight="1" x14ac:dyDescent="0.35">
      <c r="A7" s="2" t="s">
        <v>12</v>
      </c>
      <c r="B7" s="25">
        <v>1.0765</v>
      </c>
      <c r="D7" s="2" t="s">
        <v>13</v>
      </c>
      <c r="E7" s="8">
        <f>L6-L7</f>
        <v>392.92250000000001</v>
      </c>
      <c r="K7" s="2" t="s">
        <v>14</v>
      </c>
      <c r="L7" s="5">
        <f>E20</f>
        <v>0</v>
      </c>
      <c r="M7" s="6">
        <f>L7-$L$5</f>
        <v>-8.4314999999999998</v>
      </c>
    </row>
    <row r="8" spans="1:13" ht="20" customHeight="1" x14ac:dyDescent="0.35">
      <c r="A8" s="2" t="s">
        <v>15</v>
      </c>
      <c r="B8" s="25">
        <v>1.091</v>
      </c>
      <c r="D8" s="2" t="s">
        <v>16</v>
      </c>
      <c r="E8" s="9" t="str">
        <f>IF(ABS(E7)&lt;=1000,"Close","Review")</f>
        <v>Close</v>
      </c>
      <c r="K8" s="2" t="s">
        <v>17</v>
      </c>
      <c r="L8" s="5">
        <f>H20</f>
        <v>0</v>
      </c>
      <c r="M8" s="6">
        <f>L8-$L$5</f>
        <v>-8.4314999999999998</v>
      </c>
    </row>
    <row r="9" spans="1:13" ht="20" customHeight="1" x14ac:dyDescent="0.35">
      <c r="A9" s="2" t="s">
        <v>18</v>
      </c>
      <c r="B9" s="26">
        <v>3.6900000000000002E-2</v>
      </c>
      <c r="D9" s="2" t="s">
        <v>19</v>
      </c>
      <c r="E9" s="10" t="s">
        <v>20</v>
      </c>
      <c r="K9" s="2" t="s">
        <v>21</v>
      </c>
      <c r="L9" s="5">
        <f>I20</f>
        <v>0</v>
      </c>
      <c r="M9" s="6">
        <f>L9-$L$5</f>
        <v>-8.4314999999999998</v>
      </c>
    </row>
    <row r="10" spans="1:13" ht="20" customHeight="1" x14ac:dyDescent="0.35">
      <c r="A10" s="2" t="s">
        <v>22</v>
      </c>
      <c r="B10" s="26">
        <v>2.3099999999999999E-2</v>
      </c>
      <c r="D10" s="2" t="s">
        <v>23</v>
      </c>
      <c r="E10" s="10" t="s">
        <v>24</v>
      </c>
      <c r="K10" s="2" t="s">
        <v>25</v>
      </c>
      <c r="L10" s="11" t="s">
        <v>20</v>
      </c>
      <c r="M10" s="12"/>
    </row>
    <row r="11" spans="1:13" ht="20" customHeight="1" x14ac:dyDescent="0.35">
      <c r="A11" s="2" t="s">
        <v>26</v>
      </c>
      <c r="B11" s="27">
        <v>365</v>
      </c>
    </row>
    <row r="12" spans="1:13" ht="20" customHeight="1" x14ac:dyDescent="0.35">
      <c r="A12" s="2" t="s">
        <v>27</v>
      </c>
      <c r="B12" s="25">
        <f>B7</f>
        <v>1.0765</v>
      </c>
    </row>
    <row r="13" spans="1:13" ht="20" customHeight="1" x14ac:dyDescent="0.35">
      <c r="A13" s="2" t="s">
        <v>28</v>
      </c>
      <c r="B13" s="25">
        <f>B7</f>
        <v>1.0765</v>
      </c>
    </row>
    <row r="14" spans="1:13" ht="20" customHeight="1" x14ac:dyDescent="0.35">
      <c r="A14" s="2" t="s">
        <v>29</v>
      </c>
      <c r="B14" s="25">
        <v>2.2499999999999999E-2</v>
      </c>
    </row>
    <row r="15" spans="1:13" ht="20" customHeight="1" x14ac:dyDescent="0.35">
      <c r="A15" s="2" t="s">
        <v>30</v>
      </c>
      <c r="B15" s="25">
        <v>3.6900000000000002E-2</v>
      </c>
    </row>
    <row r="16" spans="1:13" ht="20" customHeight="1" x14ac:dyDescent="0.35">
      <c r="A16" s="18" t="s">
        <v>11</v>
      </c>
      <c r="B16" s="19"/>
      <c r="C16" s="19"/>
      <c r="D16" s="18" t="s">
        <v>14</v>
      </c>
      <c r="E16" s="19"/>
      <c r="F16" s="19"/>
      <c r="G16" s="18" t="s">
        <v>31</v>
      </c>
      <c r="H16" s="19"/>
      <c r="I16" s="19"/>
      <c r="J16" s="1"/>
      <c r="K16" s="1"/>
      <c r="L16" s="1"/>
      <c r="M16" s="1"/>
    </row>
    <row r="17" spans="1:13" ht="20" customHeight="1" x14ac:dyDescent="0.35">
      <c r="A17" s="2" t="s">
        <v>32</v>
      </c>
      <c r="B17" t="s">
        <v>33</v>
      </c>
      <c r="D17" s="2" t="s">
        <v>34</v>
      </c>
      <c r="E17" s="13">
        <f>FC_AMT/(1+R_FC*(T_DAYS/365))</f>
        <v>0</v>
      </c>
      <c r="G17" s="2" t="s">
        <v>35</v>
      </c>
      <c r="H17" s="14">
        <f>S0_in</f>
        <v>0</v>
      </c>
    </row>
    <row r="18" spans="1:13" ht="20" customHeight="1" x14ac:dyDescent="0.35">
      <c r="A18" s="2" t="s">
        <v>36</v>
      </c>
      <c r="B18" s="15">
        <f>FC_AMT*F0_in</f>
        <v>0</v>
      </c>
      <c r="D18" s="2" t="s">
        <v>37</v>
      </c>
      <c r="E18" s="15">
        <f>E17*S0_in</f>
        <v>0</v>
      </c>
      <c r="G18" s="2" t="s">
        <v>38</v>
      </c>
      <c r="H18" s="15">
        <f>FC_AMT*MAX(H17,K_PUT)-FC_AMT*PREM_PUT</f>
        <v>0</v>
      </c>
    </row>
    <row r="19" spans="1:13" ht="20" customHeight="1" x14ac:dyDescent="0.35">
      <c r="A19" s="2" t="s">
        <v>39</v>
      </c>
      <c r="B19" t="s">
        <v>40</v>
      </c>
      <c r="D19" s="2" t="s">
        <v>41</v>
      </c>
      <c r="E19" s="15">
        <f>E18*(1+R_USD*(T_DAYS/365))</f>
        <v>0</v>
      </c>
      <c r="G19" s="2" t="s">
        <v>42</v>
      </c>
      <c r="H19" s="15">
        <f>FC_AMT*H17 + FC_AMT*MAX(H17-K_CALL,0)-FC_AMT*PREM_CALL</f>
        <v>0</v>
      </c>
    </row>
    <row r="20" spans="1:13" ht="20" customHeight="1" x14ac:dyDescent="0.35">
      <c r="D20" s="2" t="s">
        <v>43</v>
      </c>
      <c r="E20" s="15">
        <f>E19</f>
        <v>0</v>
      </c>
      <c r="G20" s="2" t="s">
        <v>44</v>
      </c>
      <c r="H20" s="15">
        <f>H18</f>
        <v>0</v>
      </c>
      <c r="I20" s="16">
        <f>H19</f>
        <v>0</v>
      </c>
    </row>
    <row r="21" spans="1:13" ht="20" customHeight="1" x14ac:dyDescent="0.35">
      <c r="D21" s="2" t="s">
        <v>45</v>
      </c>
      <c r="E21" s="15" t="e">
        <f>E20-(FC_AMT*F0_in)</f>
        <v>#VALUE!</v>
      </c>
      <c r="G21" s="2" t="s">
        <v>46</v>
      </c>
    </row>
    <row r="22" spans="1:13" ht="20" customHeight="1" x14ac:dyDescent="0.35"/>
    <row r="23" spans="1:13" ht="20" customHeight="1" x14ac:dyDescent="0.35"/>
    <row r="24" spans="1:13" ht="20" customHeight="1" x14ac:dyDescent="0.35"/>
    <row r="25" spans="1:13" ht="20" customHeight="1" x14ac:dyDescent="0.35"/>
    <row r="26" spans="1:13" ht="20" customHeight="1" x14ac:dyDescent="0.35"/>
    <row r="27" spans="1:13" ht="20" customHeight="1" x14ac:dyDescent="0.35">
      <c r="A27" s="18" t="s">
        <v>47</v>
      </c>
      <c r="B27" s="19"/>
      <c r="C27" s="19"/>
      <c r="D27" s="19"/>
      <c r="E27" s="19"/>
      <c r="F27" s="19"/>
      <c r="G27" s="1"/>
      <c r="H27" s="1"/>
      <c r="I27" s="1"/>
      <c r="J27" s="1"/>
      <c r="K27" s="1"/>
      <c r="L27" s="1"/>
      <c r="M27" s="1"/>
    </row>
    <row r="28" spans="1:13" ht="20" customHeight="1" x14ac:dyDescent="0.35">
      <c r="A28" s="17" t="s">
        <v>5</v>
      </c>
      <c r="B28" s="17" t="s">
        <v>48</v>
      </c>
      <c r="C28" s="17" t="s">
        <v>8</v>
      </c>
      <c r="D28" s="17" t="s">
        <v>49</v>
      </c>
      <c r="E28" s="17" t="s">
        <v>50</v>
      </c>
      <c r="F28" s="17" t="s">
        <v>51</v>
      </c>
      <c r="G28" s="17" t="s">
        <v>52</v>
      </c>
    </row>
    <row r="29" spans="1:13" ht="20" customHeight="1" x14ac:dyDescent="0.35">
      <c r="A29" t="s">
        <v>53</v>
      </c>
      <c r="B29" s="23">
        <f>B7*0.95</f>
        <v>1.022675</v>
      </c>
      <c r="C29" s="15">
        <f>$B$6*B29</f>
        <v>12783437.5</v>
      </c>
      <c r="D29" s="15">
        <f>$B$6*$B$8</f>
        <v>13637500</v>
      </c>
      <c r="E29" s="15">
        <f>$B$6*$B$8</f>
        <v>13637500</v>
      </c>
      <c r="F29" s="15">
        <f>$B$6*IF(B29&lt;$B$12,$B$12,B29)-($B$6*$B$14)</f>
        <v>13175000</v>
      </c>
      <c r="G29" s="15">
        <f>$B$6*IF(B29&gt;$B$13,$B$13,B29)-($B$6*$B$15)</f>
        <v>12322187.5</v>
      </c>
    </row>
    <row r="30" spans="1:13" ht="20" customHeight="1" x14ac:dyDescent="0.35">
      <c r="A30" t="s">
        <v>54</v>
      </c>
      <c r="B30" s="23">
        <f>B7*0.96</f>
        <v>1.0334399999999999</v>
      </c>
      <c r="C30" s="15">
        <f t="shared" ref="C30:C39" si="0">$B$6*B30</f>
        <v>12917999.999999998</v>
      </c>
      <c r="D30" s="15">
        <f t="shared" ref="D30:E39" si="1">$B$6*$B$8</f>
        <v>13637500</v>
      </c>
      <c r="E30" s="15">
        <f t="shared" si="1"/>
        <v>13637500</v>
      </c>
      <c r="F30" s="15">
        <f t="shared" ref="F30:F39" si="2">$B$6*IF(B30&lt;$B$12,$B$12,B30)-($B$6*$B$14)</f>
        <v>13175000</v>
      </c>
      <c r="G30" s="15">
        <f t="shared" ref="G30:G39" si="3">$B$6*IF(B30&gt;$B$13,$B$13,B30)-($B$6*$B$15)</f>
        <v>12456749.999999998</v>
      </c>
    </row>
    <row r="31" spans="1:13" ht="20" customHeight="1" x14ac:dyDescent="0.35">
      <c r="A31" t="s">
        <v>55</v>
      </c>
      <c r="B31" s="23">
        <f>B7*0.97</f>
        <v>1.044205</v>
      </c>
      <c r="C31" s="15">
        <f t="shared" si="0"/>
        <v>13052562.5</v>
      </c>
      <c r="D31" s="15">
        <f t="shared" si="1"/>
        <v>13637500</v>
      </c>
      <c r="E31" s="15">
        <f t="shared" si="1"/>
        <v>13637500</v>
      </c>
      <c r="F31" s="15">
        <f t="shared" si="2"/>
        <v>13175000</v>
      </c>
      <c r="G31" s="15">
        <f t="shared" si="3"/>
        <v>12591312.5</v>
      </c>
    </row>
    <row r="32" spans="1:13" ht="20" customHeight="1" x14ac:dyDescent="0.35">
      <c r="A32" t="s">
        <v>56</v>
      </c>
      <c r="B32" s="23">
        <f>B7*0.98</f>
        <v>1.05497</v>
      </c>
      <c r="C32" s="15">
        <f t="shared" si="0"/>
        <v>13187125</v>
      </c>
      <c r="D32" s="15">
        <f t="shared" si="1"/>
        <v>13637500</v>
      </c>
      <c r="E32" s="15">
        <f t="shared" si="1"/>
        <v>13637500</v>
      </c>
      <c r="F32" s="15">
        <f t="shared" si="2"/>
        <v>13175000</v>
      </c>
      <c r="G32" s="15">
        <f t="shared" si="3"/>
        <v>12725875</v>
      </c>
    </row>
    <row r="33" spans="1:7" ht="20" customHeight="1" x14ac:dyDescent="0.35">
      <c r="A33" t="s">
        <v>57</v>
      </c>
      <c r="B33" s="23">
        <f>B7*0.99</f>
        <v>1.0657350000000001</v>
      </c>
      <c r="C33" s="15">
        <f t="shared" si="0"/>
        <v>13321687.500000002</v>
      </c>
      <c r="D33" s="15">
        <f t="shared" si="1"/>
        <v>13637500</v>
      </c>
      <c r="E33" s="15">
        <f t="shared" si="1"/>
        <v>13637500</v>
      </c>
      <c r="F33" s="15">
        <f t="shared" si="2"/>
        <v>13175000</v>
      </c>
      <c r="G33" s="15">
        <f t="shared" si="3"/>
        <v>12860437.500000002</v>
      </c>
    </row>
    <row r="34" spans="1:7" ht="20" customHeight="1" x14ac:dyDescent="0.35">
      <c r="A34" t="s">
        <v>58</v>
      </c>
      <c r="B34" s="23">
        <f>B7*1</f>
        <v>1.0765</v>
      </c>
      <c r="C34" s="15">
        <f t="shared" si="0"/>
        <v>13456250</v>
      </c>
      <c r="D34" s="15">
        <f t="shared" si="1"/>
        <v>13637500</v>
      </c>
      <c r="E34" s="15">
        <f t="shared" si="1"/>
        <v>13637500</v>
      </c>
      <c r="F34" s="15">
        <f t="shared" si="2"/>
        <v>13175000</v>
      </c>
      <c r="G34" s="15">
        <f t="shared" si="3"/>
        <v>12995000</v>
      </c>
    </row>
    <row r="35" spans="1:7" ht="20" customHeight="1" x14ac:dyDescent="0.35">
      <c r="A35" t="s">
        <v>59</v>
      </c>
      <c r="B35" s="23">
        <f>B7*1.01</f>
        <v>1.0872649999999999</v>
      </c>
      <c r="C35" s="15">
        <f t="shared" si="0"/>
        <v>13590812.5</v>
      </c>
      <c r="D35" s="15">
        <f t="shared" si="1"/>
        <v>13637500</v>
      </c>
      <c r="E35" s="15">
        <f t="shared" si="1"/>
        <v>13637500</v>
      </c>
      <c r="F35" s="15">
        <f t="shared" si="2"/>
        <v>13309562.5</v>
      </c>
      <c r="G35" s="15">
        <f t="shared" si="3"/>
        <v>12995000</v>
      </c>
    </row>
    <row r="36" spans="1:7" ht="20" customHeight="1" x14ac:dyDescent="0.35">
      <c r="A36" t="s">
        <v>60</v>
      </c>
      <c r="B36" s="23">
        <f>B7*1.02</f>
        <v>1.0980300000000001</v>
      </c>
      <c r="C36" s="15">
        <f t="shared" si="0"/>
        <v>13725375</v>
      </c>
      <c r="D36" s="15">
        <f t="shared" si="1"/>
        <v>13637500</v>
      </c>
      <c r="E36" s="15">
        <f t="shared" si="1"/>
        <v>13637500</v>
      </c>
      <c r="F36" s="15">
        <f t="shared" si="2"/>
        <v>13444125</v>
      </c>
      <c r="G36" s="15">
        <f t="shared" si="3"/>
        <v>12995000</v>
      </c>
    </row>
    <row r="37" spans="1:7" ht="20" customHeight="1" x14ac:dyDescent="0.35">
      <c r="A37" t="s">
        <v>61</v>
      </c>
      <c r="B37" s="23">
        <f>B7*1.03</f>
        <v>1.108795</v>
      </c>
      <c r="C37" s="15">
        <f t="shared" si="0"/>
        <v>13859937.5</v>
      </c>
      <c r="D37" s="15">
        <f t="shared" si="1"/>
        <v>13637500</v>
      </c>
      <c r="E37" s="15">
        <f t="shared" si="1"/>
        <v>13637500</v>
      </c>
      <c r="F37" s="15">
        <f t="shared" si="2"/>
        <v>13578687.5</v>
      </c>
      <c r="G37" s="15">
        <f t="shared" si="3"/>
        <v>12995000</v>
      </c>
    </row>
    <row r="38" spans="1:7" ht="20" customHeight="1" x14ac:dyDescent="0.35">
      <c r="A38" t="s">
        <v>62</v>
      </c>
      <c r="B38" s="23">
        <f>B7*1.04</f>
        <v>1.1195600000000001</v>
      </c>
      <c r="C38" s="15">
        <f t="shared" si="0"/>
        <v>13994500.000000002</v>
      </c>
      <c r="D38" s="15">
        <f t="shared" si="1"/>
        <v>13637500</v>
      </c>
      <c r="E38" s="15">
        <f t="shared" si="1"/>
        <v>13637500</v>
      </c>
      <c r="F38" s="15">
        <f t="shared" si="2"/>
        <v>13713250.000000002</v>
      </c>
      <c r="G38" s="15">
        <f t="shared" si="3"/>
        <v>12995000</v>
      </c>
    </row>
    <row r="39" spans="1:7" ht="20" customHeight="1" x14ac:dyDescent="0.35">
      <c r="A39" t="s">
        <v>63</v>
      </c>
      <c r="B39" s="23">
        <f>B7*1.05</f>
        <v>1.130325</v>
      </c>
      <c r="C39" s="15">
        <f t="shared" si="0"/>
        <v>14129062.5</v>
      </c>
      <c r="D39" s="15">
        <f t="shared" si="1"/>
        <v>13637500</v>
      </c>
      <c r="E39" s="15">
        <f t="shared" si="1"/>
        <v>13637500</v>
      </c>
      <c r="F39" s="15">
        <f t="shared" si="2"/>
        <v>13847812.5</v>
      </c>
      <c r="G39" s="15">
        <f t="shared" si="3"/>
        <v>12995000</v>
      </c>
    </row>
    <row r="40" spans="1:7" ht="20" customHeight="1" x14ac:dyDescent="0.35"/>
    <row r="41" spans="1:7" ht="20" customHeight="1" x14ac:dyDescent="0.35"/>
    <row r="42" spans="1:7" ht="20" customHeight="1" x14ac:dyDescent="0.35"/>
    <row r="43" spans="1:7" ht="20" customHeight="1" x14ac:dyDescent="0.35"/>
    <row r="44" spans="1:7" ht="20" customHeight="1" x14ac:dyDescent="0.35"/>
  </sheetData>
  <mergeCells count="9">
    <mergeCell ref="G16:I16"/>
    <mergeCell ref="A1:M1"/>
    <mergeCell ref="K4:M4"/>
    <mergeCell ref="D4:F4"/>
    <mergeCell ref="A27:F27"/>
    <mergeCell ref="A4:C4"/>
    <mergeCell ref="A2:M2"/>
    <mergeCell ref="D16:F16"/>
    <mergeCell ref="A16:C16"/>
  </mergeCells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showGridLines="0" workbookViewId="0">
      <selection sqref="A1:C1"/>
    </sheetView>
  </sheetViews>
  <sheetFormatPr defaultRowHeight="14.5" x14ac:dyDescent="0.35"/>
  <cols>
    <col min="1" max="2" width="22" customWidth="1"/>
    <col min="3" max="3" width="80" customWidth="1"/>
  </cols>
  <sheetData>
    <row r="1" spans="1:3" ht="18.5" x14ac:dyDescent="0.45">
      <c r="A1" s="20" t="s">
        <v>64</v>
      </c>
      <c r="B1" s="21"/>
      <c r="C1" s="21"/>
    </row>
    <row r="3" spans="1:3" x14ac:dyDescent="0.35">
      <c r="A3" s="17" t="s">
        <v>65</v>
      </c>
      <c r="B3" s="17" t="s">
        <v>66</v>
      </c>
      <c r="C3" s="17" t="s">
        <v>67</v>
      </c>
    </row>
    <row r="4" spans="1:3" x14ac:dyDescent="0.35">
      <c r="A4" t="s">
        <v>5</v>
      </c>
      <c r="B4" t="s">
        <v>68</v>
      </c>
      <c r="C4" t="s">
        <v>69</v>
      </c>
    </row>
    <row r="5" spans="1:3" x14ac:dyDescent="0.35">
      <c r="A5" t="s">
        <v>70</v>
      </c>
      <c r="B5" t="s">
        <v>71</v>
      </c>
      <c r="C5" t="s">
        <v>72</v>
      </c>
    </row>
    <row r="6" spans="1:3" x14ac:dyDescent="0.35">
      <c r="A6" t="s">
        <v>73</v>
      </c>
      <c r="B6" t="s">
        <v>74</v>
      </c>
      <c r="C6" t="s">
        <v>75</v>
      </c>
    </row>
    <row r="7" spans="1:3" x14ac:dyDescent="0.35">
      <c r="A7" t="s">
        <v>18</v>
      </c>
      <c r="B7" t="s">
        <v>76</v>
      </c>
      <c r="C7" t="s">
        <v>77</v>
      </c>
    </row>
    <row r="8" spans="1:3" x14ac:dyDescent="0.35">
      <c r="A8" t="s">
        <v>22</v>
      </c>
      <c r="B8" t="s">
        <v>78</v>
      </c>
      <c r="C8" t="s">
        <v>77</v>
      </c>
    </row>
    <row r="9" spans="1:3" x14ac:dyDescent="0.35">
      <c r="A9" t="s">
        <v>79</v>
      </c>
      <c r="B9" t="s">
        <v>80</v>
      </c>
      <c r="C9" t="s">
        <v>81</v>
      </c>
    </row>
    <row r="10" spans="1:3" x14ac:dyDescent="0.35">
      <c r="A10" t="s">
        <v>82</v>
      </c>
      <c r="B10" t="s">
        <v>83</v>
      </c>
      <c r="C10" t="s">
        <v>84</v>
      </c>
    </row>
    <row r="11" spans="1:3" x14ac:dyDescent="0.35">
      <c r="A11" t="s">
        <v>85</v>
      </c>
      <c r="B11" t="s">
        <v>86</v>
      </c>
      <c r="C11" t="s">
        <v>87</v>
      </c>
    </row>
    <row r="12" spans="1:3" x14ac:dyDescent="0.35">
      <c r="A12" t="s">
        <v>88</v>
      </c>
      <c r="B12" t="s">
        <v>89</v>
      </c>
      <c r="C12" t="s">
        <v>90</v>
      </c>
    </row>
    <row r="13" spans="1:3" x14ac:dyDescent="0.35">
      <c r="A13" t="s">
        <v>91</v>
      </c>
      <c r="B13" t="s">
        <v>92</v>
      </c>
      <c r="C13" t="s">
        <v>93</v>
      </c>
    </row>
    <row r="16" spans="1:3" x14ac:dyDescent="0.35">
      <c r="A16" s="2" t="s">
        <v>94</v>
      </c>
    </row>
    <row r="17" spans="1:1" x14ac:dyDescent="0.35">
      <c r="A17" t="s">
        <v>95</v>
      </c>
    </row>
    <row r="18" spans="1:1" x14ac:dyDescent="0.35">
      <c r="A18" t="s">
        <v>96</v>
      </c>
    </row>
    <row r="19" spans="1:1" x14ac:dyDescent="0.35">
      <c r="A19" t="s">
        <v>97</v>
      </c>
    </row>
    <row r="20" spans="1:1" x14ac:dyDescent="0.35">
      <c r="A20" t="s">
        <v>98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Main Model</vt:lpstr>
      <vt:lpstr>Notes &amp; Assumptions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Brennan</cp:lastModifiedBy>
  <dcterms:created xsi:type="dcterms:W3CDTF">2026-04-18T02:18:38Z</dcterms:created>
  <dcterms:modified xsi:type="dcterms:W3CDTF">2026-04-18T03:24:31Z</dcterms:modified>
</cp:coreProperties>
</file>